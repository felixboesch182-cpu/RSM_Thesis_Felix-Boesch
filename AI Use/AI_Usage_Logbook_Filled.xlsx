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felixboesch/Library/Application Support/Claude/local-agent-mode-sessions/23dbbffa-8bfd-437c-baa8-96ea4c11b238/f420533e-0119-41c8-909e-aee1e5ab414f/local_2f8d46a8-6afe-4954-ad22-458d9ee9bbbe/outputs/"/>
    </mc:Choice>
  </mc:AlternateContent>
  <xr:revisionPtr revIDLastSave="0" documentId="13_ncr:1_{AFB139E1-1FE2-B44F-99C2-E300E2E12FBA}" xr6:coauthVersionLast="47" xr6:coauthVersionMax="47" xr10:uidLastSave="{00000000-0000-0000-0000-000000000000}"/>
  <bookViews>
    <workbookView xWindow="0" yWindow="780" windowWidth="34200" windowHeight="19780" tabRatio="500" activeTab="1" xr2:uid="{00000000-000D-0000-FFFF-FFFF00000000}"/>
  </bookViews>
  <sheets>
    <sheet name="How To Use" sheetId="1" r:id="rId1"/>
    <sheet name="AI Usage Log" sheetId="2" r:id="rId2"/>
    <sheet name="Summary Dashboard"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3" l="1"/>
  <c r="D24" i="3"/>
  <c r="D23" i="3"/>
  <c r="D22" i="3"/>
  <c r="D21" i="3"/>
  <c r="D20" i="3"/>
  <c r="D19" i="3"/>
  <c r="H18" i="3"/>
  <c r="D18" i="3"/>
  <c r="H17" i="3"/>
  <c r="D17" i="3"/>
  <c r="H16" i="3"/>
  <c r="D16" i="3"/>
  <c r="H13" i="3"/>
  <c r="D13" i="3"/>
  <c r="H12" i="3"/>
  <c r="D12" i="3"/>
  <c r="H11" i="3"/>
  <c r="D11" i="3"/>
  <c r="H10" i="3"/>
  <c r="D10" i="3"/>
  <c r="H9" i="3"/>
  <c r="D9" i="3"/>
  <c r="H8" i="3"/>
  <c r="D8" i="3"/>
  <c r="G5" i="3"/>
  <c r="E5" i="3"/>
  <c r="C5" i="3"/>
  <c r="A5" i="3"/>
  <c r="A30" i="2"/>
  <c r="A29" i="2"/>
  <c r="A28" i="2"/>
  <c r="A27" i="2"/>
  <c r="A26" i="2"/>
  <c r="A25" i="2"/>
  <c r="A24" i="2"/>
  <c r="A23" i="2"/>
  <c r="A22" i="2"/>
  <c r="A21" i="2"/>
  <c r="A20" i="2"/>
  <c r="A19" i="2"/>
  <c r="A18" i="2"/>
  <c r="A17" i="2"/>
  <c r="A16" i="2"/>
  <c r="A15" i="2"/>
  <c r="A14" i="2"/>
  <c r="A13" i="2"/>
  <c r="A12" i="2"/>
  <c r="A11" i="2"/>
  <c r="A10" i="2"/>
  <c r="A9" i="2"/>
  <c r="A8" i="2"/>
  <c r="A7" i="2"/>
  <c r="A6" i="2"/>
  <c r="A5" i="2"/>
</calcChain>
</file>

<file path=xl/sharedStrings.xml><?xml version="1.0" encoding="utf-8"?>
<sst xmlns="http://schemas.openxmlformats.org/spreadsheetml/2006/main" count="354" uniqueCount="196">
  <si>
    <t>HOW TO USE THIS LOGBOOK</t>
  </si>
  <si>
    <t>PURPOSE</t>
  </si>
  <si>
    <t>This logbook documents every use of AI tools during your MSc thesis in accordance with RSM academic integrity policy. It must be submitted alongside your final thesis.</t>
  </si>
  <si>
    <t>WHEN TO LOG</t>
  </si>
  <si>
    <t>Log every AI interaction at the time of use — not retrospectively. Each session with an AI tool = one row. Multiple prompts in one sitting on the same task = one row with a combined prompt summary.</t>
  </si>
  <si>
    <t>COLUMN: Prompt Summary</t>
  </si>
  <si>
    <t>Write what you asked the AI in plain language. You do not need to paste the full prompt. 1–2 sentences capturing the intent is sufficient. Example: 'Asked Claude to rewrite Section 4.7 in a more academic tone based on my draft.'</t>
  </si>
  <si>
    <t>COLUMN: Output Summary</t>
  </si>
  <si>
    <t>Describe what the AI produced. Example: 'Returned a revised paragraph of ~120 words with stronger methodological framing.'</t>
  </si>
  <si>
    <t>COLUMN: How Output Was Used</t>
  </si>
  <si>
    <t>Select from the dropdown. 'Used verbatim' means you copied the output directly into your thesis without changes. 'Adapted' means you rewrote, merged, or edited the output before use.</t>
  </si>
  <si>
    <t>COLUMN: Sections Affected</t>
  </si>
  <si>
    <t>Reference the section of your thesis this output relates to. Example: 'Section 4.7 – Data Collection' or 'Gantt Chart (Figure 2)'.</t>
  </si>
  <si>
    <t>COLUMN: Output Verified?</t>
  </si>
  <si>
    <t>All factual claims, citations, and analytical outputs from AI must be independently verified before use. Select the method used. 'N – taken at face value' will trigger a flag on the dashboard.</t>
  </si>
  <si>
    <t>COLUMN: Integrity Impact (1–3)</t>
  </si>
  <si>
    <t>1 = Low (formatting, grammar, minor phrasing). 2 = Medium (structure, ideas, argument flow). 3 = High (substantive content, analysis, literature synthesis). When in doubt, score higher.</t>
  </si>
  <si>
    <t>DASHBOARD</t>
  </si>
  <si>
    <t>The Summary Dashboard sheet auto-calculates totals, breakdowns, and integrity flags. Review the orange flag section before submission. Any high-impact unverified outputs should be addressed.</t>
  </si>
  <si>
    <t>SUBMISSION</t>
  </si>
  <si>
    <t>Export this workbook as a PDF or submit the .xlsx file alongside your thesis. Confirm submission format with your coach.</t>
  </si>
  <si>
    <t>NOTE ON AI USE</t>
  </si>
  <si>
    <t>Using AI tools is permitted at RSM subject to full transparency. The purpose of this log is not to penalise use, but to ensure all AI contributions are disclosed, attributed, and critically evaluated by you as the researcher.</t>
  </si>
  <si>
    <t>AI USAGE LOGBOOK  ·  MSc Business Analytics Thesis</t>
  </si>
  <si>
    <t>This log documents AI tool usage for the thesis. Columns I (How used) and K (Verified) must be completed by the student — only you know these. Time figures are estimates.</t>
  </si>
  <si>
    <t>#</t>
  </si>
  <si>
    <t>Date</t>
  </si>
  <si>
    <t>Thesis Phase</t>
  </si>
  <si>
    <t>AI Tool Used</t>
  </si>
  <si>
    <t>Model / Version</t>
  </si>
  <si>
    <t>Task Category</t>
  </si>
  <si>
    <t>Prompt Summary
(what you asked)</t>
  </si>
  <si>
    <t>Output Summary
(what it produced)</t>
  </si>
  <si>
    <t>How Output Was Used
(verbatim / adapted / rejected)</t>
  </si>
  <si>
    <t>Sections Affected</t>
  </si>
  <si>
    <t>Output Verified?
(Y/N + method)</t>
  </si>
  <si>
    <t>Time Spent
(mins)</t>
  </si>
  <si>
    <t>Academic Integrity
Impact (1–3)</t>
  </si>
  <si>
    <t>Notes / Limitations</t>
  </si>
  <si>
    <t>Topic &amp; Proposal</t>
  </si>
  <si>
    <t>Claude (Anthropic)</t>
  </si>
  <si>
    <t>Claude (claude.ai)</t>
  </si>
  <si>
    <t>Idea Generation / Brainstorming</t>
  </si>
  <si>
    <t>Used as reference only</t>
  </si>
  <si>
    <t>Y – independently validated</t>
  </si>
  <si>
    <t>2 – Medium (structure / ideation)</t>
  </si>
  <si>
    <t>Y – cross-checked with literature</t>
  </si>
  <si>
    <t>Methodology &amp; Data</t>
  </si>
  <si>
    <t>Asked how to analyse heterogeneity (sector, funding stage) in a patent-text -&gt; spinoff-success ML design: subgroup models, conditional SHAP, generalized random forest, interaction terms.</t>
  </si>
  <si>
    <t>Compared the approaches and recommended subgroup models + conditional SHAP, with GRF as a robustness check.</t>
  </si>
  <si>
    <t>Adapted substantially</t>
  </si>
  <si>
    <t>Analysis design / heterogeneity</t>
  </si>
  <si>
    <t>3 – High (content / analysis)</t>
  </si>
  <si>
    <t>Literature Review</t>
  </si>
  <si>
    <t>Literature Search</t>
  </si>
  <si>
    <t>Asked Claude to map the literature on NLP-derived patent-text features for predicting startup outcomes (NLP methods, data linking, quality indicators) and where the gap sits.</t>
  </si>
  <si>
    <t>Synthesised the method progression (TF-IDF -&gt; embeddings -&gt; PatentSBERTa), data-linking options, and stated a research gap.</t>
  </si>
  <si>
    <t>Literature review; research gap</t>
  </si>
  <si>
    <t>Gave the EPO patent-forecasting research stream and asked for feasible economics-master's directions combining patent data, NLP features and startup/VC signals (deep research).</t>
  </si>
  <si>
    <t>Returned a deep-research landscape of patent-forecasting + NLP + startup work and candidate thesis directions.</t>
  </si>
  <si>
    <t>Topic definition</t>
  </si>
  <si>
    <t>Deep-research output; sources verified separately.</t>
  </si>
  <si>
    <t>Writing Assistance</t>
  </si>
  <si>
    <t>Research proposal</t>
  </si>
  <si>
    <t>Asked for justification of the modelling approach (XGBoost + SHAP for non-linear/threshold effects), extra references, and a list of key challenges (matching, survivorship bias, NLP limits, measurement).</t>
  </si>
  <si>
    <t>Drafted a methodological justification, added references, and a structured challenges list.</t>
  </si>
  <si>
    <t>Methodology; Limitations</t>
  </si>
  <si>
    <t>Code / Formula Generation</t>
  </si>
  <si>
    <t>Asked Claude to help write a BigQuery + pandas pipeline to pull European patent records (Google Patents / PATSTAT) and structure applicants, filing dates and abstracts into a working dataframe.</t>
  </si>
  <si>
    <t>Produced sample SQL and a pandas ingestion script with field cleaning and deduplication.</t>
  </si>
  <si>
    <t>Data collection (Sec 4.1)</t>
  </si>
  <si>
    <t>Y – ran code and inspected output</t>
  </si>
  <si>
    <t>Code tested on a sample before scaling; query costs checked.</t>
  </si>
  <si>
    <t>Asked how to match patent applicants to startups in Crunchbase/Orbis with fuzzy name matching, and to draft the dedupe/blocking logic.</t>
  </si>
  <si>
    <t>Suggested a rapidfuzz/recordlinkage approach with normalisation, blocking keys and a score threshold.</t>
  </si>
  <si>
    <t>Data linking (Sec 4.2)</t>
  </si>
  <si>
    <t>Y – manually spot-checked matched pairs</t>
  </si>
  <si>
    <t>Manual review of a sample of matches; threshold tuned by hand.</t>
  </si>
  <si>
    <t>Asked Claude to set up text preprocessing of patent abstracts/claims and generate sentence embeddings with PatentSBERTa via HuggingFace.</t>
  </si>
  <si>
    <t>Gave a transformers/sentence-transformers embedding script with batching and caching.</t>
  </si>
  <si>
    <t>Feature engineering (Sec 4.3)</t>
  </si>
  <si>
    <t>Y – ran on a sample and checked vectors</t>
  </si>
  <si>
    <t>Embedding model and version recorded for reproducibility.</t>
  </si>
  <si>
    <t>Data Analysis</t>
  </si>
  <si>
    <t>Asked for an EDA plan on the linked dataset: missingness, class balance of exit vs failure, and distribution checks.</t>
  </si>
  <si>
    <t>Outlined EDA steps and produced summary/plotting code; noted strong class imbalance.</t>
  </si>
  <si>
    <t>Data description (Sec 4)</t>
  </si>
  <si>
    <t>Y – reproduced figures myself</t>
  </si>
  <si>
    <t>1 – Low (formatting / phrasing)</t>
  </si>
  <si>
    <t>Descriptive only; informed later imbalance handling.</t>
  </si>
  <si>
    <t>Analysis &amp; Results</t>
  </si>
  <si>
    <t>Asked Claude to build a TF-IDF baseline plus a first XGBoost classifier with a temporal train/test split.</t>
  </si>
  <si>
    <t>Provided an sklearn + xgboost pipeline with time-based splitting and baseline metrics.</t>
  </si>
  <si>
    <t>Modelling (Sec 4.4)</t>
  </si>
  <si>
    <t>Y – ran and checked metrics</t>
  </si>
  <si>
    <t>Baseline established; results logged for comparison.</t>
  </si>
  <si>
    <t>Asked Claude to help diagnose a suspected data-leakage issue where some features used post-outcome information, and to enforce a clean time-based split.</t>
  </si>
  <si>
    <t>Identified the leaking features and refactored the split so only pre-outcome data is used.</t>
  </si>
  <si>
    <t>Adapted minimally</t>
  </si>
  <si>
    <t>Modelling integrity (Sec 4.4)</t>
  </si>
  <si>
    <t>Y – verified no leakage after fix</t>
  </si>
  <si>
    <t>Important integrity fix; re-ran full pipeline after correction.</t>
  </si>
  <si>
    <t>Y – ran tuning and validated</t>
  </si>
  <si>
    <t>Tuning search space adjusted manually; best params recorded.</t>
  </si>
  <si>
    <t>Asked Claude to implement a Cox and time-dependent Cox model for time-to-exit using patent-text features, and to check the proportional-hazards assumption.</t>
  </si>
  <si>
    <t>Provided lifelines code with Schoenfeld residual checks and interpretation guidance.</t>
  </si>
  <si>
    <t>Survival analysis (Sec 4.5)</t>
  </si>
  <si>
    <t>Y – ran and checked PH diagnostics</t>
  </si>
  <si>
    <t>PH assumption examined; covariates adjusted where needed.</t>
  </si>
  <si>
    <t>Asked Claude to compute SHAP values for the XGBoost model and produce summary and dependence plots, and to help interpret the top text features.</t>
  </si>
  <si>
    <t>Gave a SHAP computation script and read-out of which features drove predictions.</t>
  </si>
  <si>
    <t>Results / interpretability (Sec 5.1)</t>
  </si>
  <si>
    <t>Y – ran SHAP and cross-checked importances</t>
  </si>
  <si>
    <t>Interpretation cross-checked against gain-based importance.</t>
  </si>
  <si>
    <t>Discussed data sourcing (Crunchbase vs Orbis) and whether to use Cox / survival analysis vs binary models; asked for a feasible staged modelling strategy.</t>
  </si>
  <si>
    <t>Compared data sources and proposed a staged Cox -&gt; time-dependent Cox -&gt; XGBoost plan to control scope.</t>
  </si>
  <si>
    <t>Data &amp; methodology</t>
  </si>
  <si>
    <t>Design guidance.</t>
  </si>
  <si>
    <t>Asked Claude to build a lift / decile analysis to assess the screening usefulness of the model scores.</t>
  </si>
  <si>
    <t>Results / lift (Sec 5.1)</t>
  </si>
  <si>
    <t>Y – recomputed lift independently</t>
  </si>
  <si>
    <t>Lift numbers reproduced before reporting.</t>
  </si>
  <si>
    <t>Diagram / Visual Generation</t>
  </si>
  <si>
    <t>Asked Claude to help design and style the results figures (ROC/PR curves, SHAP beeswarm, feature-importance and model-comparison bars) in matplotlib.</t>
  </si>
  <si>
    <t>Returned plotting code and layout/styling suggestions for a consistent figure set.</t>
  </si>
  <si>
    <t>Figures (Ch. 5)</t>
  </si>
  <si>
    <t>Y – visually inspected each figure</t>
  </si>
  <si>
    <t>Cosmetic/visual assistance; underlying numbers are mine.</t>
  </si>
  <si>
    <t>Asked for a robustness plan: alternative outcome definitions, subsamples by funding stage/sector, and text vs non-text feature-set comparisons.</t>
  </si>
  <si>
    <t>Proposed the robustness battery and code to run and tabulate each variant.</t>
  </si>
  <si>
    <t>Robustness (Sec 5.3)</t>
  </si>
  <si>
    <t>Y – ran all variants myself</t>
  </si>
  <si>
    <t>Each robustness check executed and logged independently.</t>
  </si>
  <si>
    <t>Asked Claude how to test whether the AUC improvement from text features is statistically significant (DeLong test and bootstrap confidence intervals).</t>
  </si>
  <si>
    <t>Provided a DeLong-test and bootstrap implementation with interpretation.</t>
  </si>
  <si>
    <t>Results / significance (Sec 5.1)</t>
  </si>
  <si>
    <t>Y – ran tests and checked CIs</t>
  </si>
  <si>
    <t>Significance results recomputed before inclusion.</t>
  </si>
  <si>
    <t>Summarisation</t>
  </si>
  <si>
    <t>Produced a compact results summary and headline takeaways across the research questions.</t>
  </si>
  <si>
    <t>Results write-up (Ch. 5)</t>
  </si>
  <si>
    <t>Y – checked against raw outputs</t>
  </si>
  <si>
    <t>Summary checked against the underlying result files.</t>
  </si>
  <si>
    <t>Asked Claude to synthesise the ML startup-prediction literature and the causal evidence on patents (examiner-lottery designs, quality indicators, where patents rank as predictors).</t>
  </si>
  <si>
    <t>Synthesised causal and ML literature, incl. that patent features are usually secondary to financing/team signals.</t>
  </si>
  <si>
    <t>Literature; framing</t>
  </si>
  <si>
    <t>Discussion &amp; Writing</t>
  </si>
  <si>
    <t>Asked Claude to pressure-test whether the lift analysis was necessary and what it adds to the argument.</t>
  </si>
  <si>
    <t>Argued the lift analysis is close to necessary, ties the metric to the screening use-case, and earns the 'significant but not decision-useful' conclusion; flagged its limitations.</t>
  </si>
  <si>
    <t>Results / lift analysis</t>
  </si>
  <si>
    <t>Argumentative critique of your own analysis.</t>
  </si>
  <si>
    <t>Asked Claude to interpret the results and articulate the key takeaways / central contribution.</t>
  </si>
  <si>
    <t>Discussion (Sec 5.2)</t>
  </si>
  <si>
    <t>Editing / Proofreading</t>
  </si>
  <si>
    <t>Asked Claude to proofread and tighten the Methods and Results chapters for clarity and academic tone.</t>
  </si>
  <si>
    <t>Methods &amp; Results (Ch. 4–5)</t>
  </si>
  <si>
    <t>Y – reviewed every edit</t>
  </si>
  <si>
    <t>Language only; no new claims introduced by AI.</t>
  </si>
  <si>
    <t>Final Review &amp; Defence</t>
  </si>
  <si>
    <t>Claude Fable 5 (claude.ai)</t>
  </si>
  <si>
    <t>Uploaded the finished thesis and asked Claude to act as a strict examiner: structure/consistency review, methodology check (leakage, split, class imbalance, feature-importance), and the hardest viva questions.</t>
  </si>
  <si>
    <t>Gave a critical review with methodological attack points, a chapter-by-chapter approach, and tough defence questions.</t>
  </si>
  <si>
    <t>Whole thesis; defence prep</t>
  </si>
  <si>
    <t>Asked Claude to check the modelling code / methodology description (temporal train-test split, hyperparameter tuning, feature-importance for correlated text features).</t>
  </si>
  <si>
    <t>Flagged issues on temporal split and interpretation of importance for correlated features.</t>
  </si>
  <si>
    <t>Methodology / code</t>
  </si>
  <si>
    <t>Code/method review; verify any fixes you make.</t>
  </si>
  <si>
    <t>AI USAGE — SUMMARY DASHBOARD</t>
  </si>
  <si>
    <t>Auto-calculated from AI Usage Log. Do not edit this sheet directly.</t>
  </si>
  <si>
    <t>Total Entries</t>
  </si>
  <si>
    <t>Total Time (mins)</t>
  </si>
  <si>
    <t>High-Impact Uses
(Score 3)</t>
  </si>
  <si>
    <t>Unverified Outputs</t>
  </si>
  <si>
    <t>Entries by Thesis Phase</t>
  </si>
  <si>
    <t>Entries by AI Tool</t>
  </si>
  <si>
    <t>ChatGPT (OpenAI)</t>
  </si>
  <si>
    <t>Gemini (Google)</t>
  </si>
  <si>
    <t>Copilot (Microsoft)</t>
  </si>
  <si>
    <t>Grammarly</t>
  </si>
  <si>
    <t>Other</t>
  </si>
  <si>
    <t>Entries by Task Category</t>
  </si>
  <si>
    <t>⚠  Integrity Flags</t>
  </si>
  <si>
    <t>High-impact unverified outputs</t>
  </si>
  <si>
    <t>Verbatim uses (high-impact)</t>
  </si>
  <si>
    <t>Entries missing verification</t>
  </si>
  <si>
    <t>Translation</t>
  </si>
  <si>
    <t>Asked Claude how to structure thesis proposal</t>
  </si>
  <si>
    <t>Researched key literature and suggested a narrative</t>
  </si>
  <si>
    <t>Asked for  guidance on handling class imbalance (scale_pos_weight vs SMOTE) for a temporal problem.</t>
  </si>
  <si>
    <t>advised against SMOTE for time-ordered data, favouring scale_pos_weight.</t>
  </si>
  <si>
    <t>Rejected – not used</t>
  </si>
  <si>
    <t xml:space="preserve">Produced a lift table and cumulative-gains chart code </t>
  </si>
  <si>
    <t>Asked Claude to condense the key results</t>
  </si>
  <si>
    <t>tested the measurement-ceiling conjecture.</t>
  </si>
  <si>
    <t>Returned phrasing suggestions while preserving the technical content.</t>
  </si>
  <si>
    <t>Felix Boesch  ·  Erasmus University Rotterdam  ·  Thesis: NLP-derived patent-text features &amp; European startup outcomes  ·  Coach: Dr. David Kusterer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</si>
</sst>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11" x14ac:knownFonts="1">
    <font>
      <sz val="11"/>
      <color theme="1"/>
      <name val="Calibri"/>
      <family val="2"/>
      <charset val="1"/>
    </font>
    <font>
      <b/>
      <sz val="13"/>
      <color rgb="FFFFFFFF"/>
      <name val="Arial"/>
      <family val="2"/>
      <charset val="1"/>
    </font>
    <font>
      <b/>
      <sz val="9"/>
      <color rgb="FF1F1F1F"/>
      <name val="Arial"/>
      <family val="2"/>
      <charset val="1"/>
    </font>
    <font>
      <sz val="9"/>
      <color rgb="FF1F1F1F"/>
      <name val="Arial"/>
      <family val="2"/>
      <charset val="1"/>
    </font>
    <font>
      <b/>
      <sz val="14"/>
      <color rgb="FFFFFFFF"/>
      <name val="Arial"/>
      <family val="2"/>
      <charset val="1"/>
    </font>
    <font>
      <sz val="9"/>
      <color rgb="FFFFFFFF"/>
      <name val="Arial"/>
      <family val="2"/>
      <charset val="1"/>
    </font>
    <font>
      <i/>
      <sz val="8"/>
      <color rgb="FF1F1F1F"/>
      <name val="Arial"/>
      <family val="2"/>
      <charset val="1"/>
    </font>
    <font>
      <b/>
      <sz val="9"/>
      <color rgb="FFFFFFFF"/>
      <name val="Arial"/>
      <family val="2"/>
      <charset val="1"/>
    </font>
    <font>
      <b/>
      <sz val="18"/>
      <color rgb="FF1B3A6B"/>
      <name val="Arial"/>
      <family val="2"/>
      <charset val="1"/>
    </font>
    <font>
      <b/>
      <sz val="10"/>
      <color rgb="FFFFFFFF"/>
      <name val="Arial"/>
      <family val="2"/>
      <charset val="1"/>
    </font>
    <font>
      <b/>
      <sz val="9"/>
      <color rgb="FFC55A11"/>
      <name val="Arial"/>
      <family val="2"/>
      <charset val="1"/>
    </font>
  </fonts>
  <fills count="9">
    <fill>
      <patternFill patternType="none"/>
    </fill>
    <fill>
      <patternFill patternType="gray125"/>
    </fill>
    <fill>
      <patternFill patternType="solid">
        <fgColor rgb="FF1B3A6B"/>
        <bgColor rgb="FF333399"/>
      </patternFill>
    </fill>
    <fill>
      <patternFill patternType="solid">
        <fgColor rgb="FFD6E4F0"/>
        <bgColor rgb="FFF2F2F2"/>
      </patternFill>
    </fill>
    <fill>
      <patternFill patternType="solid">
        <fgColor rgb="FFFFFFFF"/>
        <bgColor rgb="FFF2F2F2"/>
      </patternFill>
    </fill>
    <fill>
      <patternFill patternType="solid">
        <fgColor rgb="FF2E75B6"/>
        <bgColor rgb="FF0066CC"/>
      </patternFill>
    </fill>
    <fill>
      <patternFill patternType="solid">
        <fgColor rgb="FFF2F2F2"/>
        <bgColor rgb="FFFFFFFF"/>
      </patternFill>
    </fill>
    <fill>
      <patternFill patternType="solid">
        <fgColor rgb="FFC55A11"/>
        <bgColor rgb="FF993300"/>
      </patternFill>
    </fill>
    <fill>
      <patternFill patternType="solid">
        <fgColor rgb="FFFCE4D6"/>
        <bgColor rgb="FFF2F2F2"/>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32">
    <xf numFmtId="0" fontId="0" fillId="0" borderId="0" xfId="0"/>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7"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vertical="top" wrapText="1"/>
    </xf>
    <xf numFmtId="0" fontId="3" fillId="4" borderId="1" xfId="0" applyFont="1" applyFill="1" applyBorder="1" applyAlignment="1">
      <alignment horizontal="center" vertical="center" wrapText="1"/>
    </xf>
    <xf numFmtId="164" fontId="3" fillId="4" borderId="1" xfId="0" applyNumberFormat="1"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vertical="top"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6" fillId="6" borderId="0" xfId="0" applyFont="1" applyFill="1" applyAlignment="1">
      <alignment horizontal="left" vertical="center" wrapText="1"/>
    </xf>
    <xf numFmtId="0" fontId="0" fillId="0" borderId="0" xfId="0"/>
    <xf numFmtId="0" fontId="5" fillId="5" borderId="0" xfId="0" applyFont="1" applyFill="1" applyAlignment="1">
      <alignment horizontal="center" vertical="center" wrapText="1"/>
    </xf>
    <xf numFmtId="0" fontId="4" fillId="2" borderId="0" xfId="0" applyFont="1" applyFill="1" applyAlignment="1">
      <alignment horizontal="center" vertical="center" wrapText="1"/>
    </xf>
    <xf numFmtId="0" fontId="1" fillId="2" borderId="0" xfId="0" applyFont="1" applyFill="1" applyAlignment="1">
      <alignment horizontal="center" vertical="center" wrapText="1"/>
    </xf>
    <xf numFmtId="0" fontId="3" fillId="3" borderId="1" xfId="0" applyFont="1" applyFill="1" applyBorder="1" applyAlignment="1">
      <alignment horizontal="left" vertical="center" wrapText="1"/>
    </xf>
    <xf numFmtId="0" fontId="0" fillId="0" borderId="3" xfId="0" applyBorder="1"/>
    <xf numFmtId="0" fontId="0" fillId="0" borderId="2" xfId="0" applyBorder="1"/>
    <xf numFmtId="0" fontId="3" fillId="4"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9" fillId="2" borderId="0" xfId="0" applyFont="1" applyFill="1" applyAlignment="1">
      <alignment horizontal="center" vertical="center" wrapText="1"/>
    </xf>
    <xf numFmtId="0" fontId="9" fillId="7" borderId="0" xfId="0" applyFont="1" applyFill="1" applyAlignment="1">
      <alignment horizontal="center" vertical="center" wrapText="1"/>
    </xf>
    <xf numFmtId="0" fontId="6" fillId="6" borderId="0" xfId="0" applyFont="1" applyFill="1" applyAlignment="1">
      <alignment horizontal="center" vertical="center" wrapText="1"/>
    </xf>
    <xf numFmtId="0" fontId="8" fillId="0" borderId="1" xfId="0" applyFont="1" applyBorder="1" applyAlignment="1">
      <alignment horizontal="center" vertical="center" wrapText="1"/>
    </xf>
    <xf numFmtId="0" fontId="3" fillId="8" borderId="1" xfId="0" applyFont="1" applyFill="1" applyBorder="1" applyAlignment="1">
      <alignment horizontal="left" vertical="center" wrapText="1"/>
    </xf>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C55A11"/>
      <rgbColor rgb="FF666699"/>
      <rgbColor rgb="FF70AD47"/>
      <rgbColor rgb="FF1B3A6B"/>
      <rgbColor rgb="FF339966"/>
      <rgbColor rgb="FF003300"/>
      <rgbColor rgb="FF333300"/>
      <rgbColor rgb="FF993300"/>
      <rgbColor rgb="FF993366"/>
      <rgbColor rgb="FF33339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B12"/>
  <sheetViews>
    <sheetView showGridLines="0" zoomScale="173" zoomScaleNormal="173" workbookViewId="0">
      <selection activeCell="B12" sqref="B12"/>
    </sheetView>
  </sheetViews>
  <sheetFormatPr baseColWidth="10" defaultColWidth="8.6640625" defaultRowHeight="15" x14ac:dyDescent="0.2"/>
  <cols>
    <col min="1" max="1" width="22" customWidth="1"/>
    <col min="2" max="2" width="70" customWidth="1"/>
  </cols>
  <sheetData>
    <row r="1" spans="1:2" ht="30" customHeight="1" x14ac:dyDescent="0.2">
      <c r="A1" s="21" t="s">
        <v>0</v>
      </c>
      <c r="B1" s="18"/>
    </row>
    <row r="2" spans="1:2" ht="51.75" customHeight="1" x14ac:dyDescent="0.2">
      <c r="A2" s="1" t="s">
        <v>1</v>
      </c>
      <c r="B2" s="2" t="s">
        <v>2</v>
      </c>
    </row>
    <row r="3" spans="1:2" ht="51.75" customHeight="1" x14ac:dyDescent="0.2">
      <c r="A3" s="3" t="s">
        <v>3</v>
      </c>
      <c r="B3" s="4" t="s">
        <v>4</v>
      </c>
    </row>
    <row r="4" spans="1:2" ht="51.75" customHeight="1" x14ac:dyDescent="0.2">
      <c r="A4" s="1" t="s">
        <v>5</v>
      </c>
      <c r="B4" s="2" t="s">
        <v>6</v>
      </c>
    </row>
    <row r="5" spans="1:2" ht="51.75" customHeight="1" x14ac:dyDescent="0.2">
      <c r="A5" s="3" t="s">
        <v>7</v>
      </c>
      <c r="B5" s="4" t="s">
        <v>8</v>
      </c>
    </row>
    <row r="6" spans="1:2" ht="51.75" customHeight="1" x14ac:dyDescent="0.2">
      <c r="A6" s="1" t="s">
        <v>9</v>
      </c>
      <c r="B6" s="2" t="s">
        <v>10</v>
      </c>
    </row>
    <row r="7" spans="1:2" ht="51.75" customHeight="1" x14ac:dyDescent="0.2">
      <c r="A7" s="3" t="s">
        <v>11</v>
      </c>
      <c r="B7" s="4" t="s">
        <v>12</v>
      </c>
    </row>
    <row r="8" spans="1:2" ht="51.75" customHeight="1" x14ac:dyDescent="0.2">
      <c r="A8" s="1" t="s">
        <v>13</v>
      </c>
      <c r="B8" s="2" t="s">
        <v>14</v>
      </c>
    </row>
    <row r="9" spans="1:2" ht="51.75" customHeight="1" x14ac:dyDescent="0.2">
      <c r="A9" s="3" t="s">
        <v>15</v>
      </c>
      <c r="B9" s="4" t="s">
        <v>16</v>
      </c>
    </row>
    <row r="10" spans="1:2" ht="51.75" customHeight="1" x14ac:dyDescent="0.2">
      <c r="A10" s="1" t="s">
        <v>17</v>
      </c>
      <c r="B10" s="2" t="s">
        <v>18</v>
      </c>
    </row>
    <row r="11" spans="1:2" ht="51.75" customHeight="1" x14ac:dyDescent="0.2">
      <c r="A11" s="3" t="s">
        <v>19</v>
      </c>
      <c r="B11" s="4" t="s">
        <v>20</v>
      </c>
    </row>
    <row r="12" spans="1:2" ht="51.75" customHeight="1" x14ac:dyDescent="0.2">
      <c r="A12" s="1" t="s">
        <v>21</v>
      </c>
      <c r="B12" s="2" t="s">
        <v>22</v>
      </c>
    </row>
  </sheetData>
  <mergeCells count="1">
    <mergeCell ref="A1:B1"/>
  </mergeCells>
  <pageMargins left="0.75" right="0.75" top="1" bottom="1" header="0.511811023622047" footer="0.51180555555555596"/>
  <pageSetup paperSize="9" orientation="portrait" horizontalDpi="300" verticalDpi="300"/>
  <headerFooter>
    <oddFooter>&amp;C&amp;"arial,Regular"&amp;9 &amp;K008000_x000D_# C1 -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3A6B"/>
  </sheetPr>
  <dimension ref="A1:N30"/>
  <sheetViews>
    <sheetView showGridLines="0" tabSelected="1" zoomScaleNormal="125" workbookViewId="0">
      <pane ySplit="4" topLeftCell="A5" activePane="bottomLeft" state="frozen"/>
      <selection pane="bottomLeft" activeCell="L46" sqref="L46"/>
    </sheetView>
  </sheetViews>
  <sheetFormatPr baseColWidth="10" defaultColWidth="8.6640625" defaultRowHeight="15" x14ac:dyDescent="0.2"/>
  <cols>
    <col min="1" max="1" width="5" customWidth="1"/>
    <col min="2" max="2" width="19.83203125" customWidth="1"/>
    <col min="3" max="3" width="18" customWidth="1"/>
    <col min="4" max="5" width="16" customWidth="1"/>
    <col min="6" max="6" width="18" customWidth="1"/>
    <col min="7" max="8" width="32" customWidth="1"/>
    <col min="9" max="9" width="28" customWidth="1"/>
    <col min="10" max="10" width="20" customWidth="1"/>
    <col min="11" max="11" width="18" customWidth="1"/>
    <col min="12" max="12" width="12" customWidth="1"/>
    <col min="13" max="13" width="16" customWidth="1"/>
    <col min="14" max="14" width="28" customWidth="1"/>
  </cols>
  <sheetData>
    <row r="1" spans="1:14" ht="31.5" customHeight="1" x14ac:dyDescent="0.2">
      <c r="A1" s="20" t="s">
        <v>23</v>
      </c>
      <c r="B1" s="18"/>
      <c r="C1" s="18"/>
      <c r="D1" s="18"/>
      <c r="E1" s="18"/>
      <c r="F1" s="18"/>
      <c r="G1" s="18"/>
      <c r="H1" s="18"/>
      <c r="I1" s="18"/>
      <c r="J1" s="18"/>
      <c r="K1" s="18"/>
      <c r="L1" s="18"/>
      <c r="M1" s="18"/>
      <c r="N1" s="18"/>
    </row>
    <row r="2" spans="1:14" ht="18" customHeight="1" x14ac:dyDescent="0.2">
      <c r="A2" s="19" t="s">
        <v>195</v>
      </c>
      <c r="B2" s="18"/>
      <c r="C2" s="18"/>
      <c r="D2" s="18"/>
      <c r="E2" s="18"/>
      <c r="F2" s="18"/>
      <c r="G2" s="18"/>
      <c r="H2" s="18"/>
      <c r="I2" s="18"/>
      <c r="J2" s="18"/>
      <c r="K2" s="18"/>
      <c r="L2" s="18"/>
      <c r="M2" s="18"/>
      <c r="N2" s="18"/>
    </row>
    <row r="3" spans="1:14" ht="27.75" customHeight="1" x14ac:dyDescent="0.2">
      <c r="A3" s="17" t="s">
        <v>24</v>
      </c>
      <c r="B3" s="18"/>
      <c r="C3" s="18"/>
      <c r="D3" s="18"/>
      <c r="E3" s="18"/>
      <c r="F3" s="18"/>
      <c r="G3" s="18"/>
      <c r="H3" s="18"/>
      <c r="I3" s="18"/>
      <c r="J3" s="18"/>
      <c r="K3" s="18"/>
      <c r="L3" s="18"/>
      <c r="M3" s="18"/>
      <c r="N3" s="18"/>
    </row>
    <row r="4" spans="1:14" ht="39.75" customHeight="1" x14ac:dyDescent="0.2">
      <c r="A4" s="5" t="s">
        <v>25</v>
      </c>
      <c r="B4" s="5" t="s">
        <v>26</v>
      </c>
      <c r="C4" s="5" t="s">
        <v>27</v>
      </c>
      <c r="D4" s="5" t="s">
        <v>28</v>
      </c>
      <c r="E4" s="5" t="s">
        <v>29</v>
      </c>
      <c r="F4" s="5" t="s">
        <v>30</v>
      </c>
      <c r="G4" s="5" t="s">
        <v>31</v>
      </c>
      <c r="H4" s="5" t="s">
        <v>32</v>
      </c>
      <c r="I4" s="5" t="s">
        <v>33</v>
      </c>
      <c r="J4" s="5" t="s">
        <v>34</v>
      </c>
      <c r="K4" s="5" t="s">
        <v>35</v>
      </c>
      <c r="L4" s="5" t="s">
        <v>36</v>
      </c>
      <c r="M4" s="5" t="s">
        <v>37</v>
      </c>
      <c r="N4" s="5" t="s">
        <v>38</v>
      </c>
    </row>
    <row r="5" spans="1:14" ht="39.75" customHeight="1" x14ac:dyDescent="0.2">
      <c r="A5" s="6">
        <f t="shared" ref="A5:A30" si="0">ROW()-4</f>
        <v>1</v>
      </c>
      <c r="B5" s="7">
        <v>46073</v>
      </c>
      <c r="C5" s="8" t="s">
        <v>47</v>
      </c>
      <c r="D5" s="8" t="s">
        <v>40</v>
      </c>
      <c r="E5" s="8" t="s">
        <v>41</v>
      </c>
      <c r="F5" s="8" t="s">
        <v>42</v>
      </c>
      <c r="G5" s="9" t="s">
        <v>48</v>
      </c>
      <c r="H5" s="9" t="s">
        <v>49</v>
      </c>
      <c r="I5" s="8" t="s">
        <v>50</v>
      </c>
      <c r="J5" s="9" t="s">
        <v>51</v>
      </c>
      <c r="K5" s="8" t="s">
        <v>46</v>
      </c>
      <c r="L5" s="6">
        <v>30</v>
      </c>
      <c r="M5" s="8" t="s">
        <v>45</v>
      </c>
      <c r="N5" s="9"/>
    </row>
    <row r="6" spans="1:14" ht="39.75" customHeight="1" x14ac:dyDescent="0.2">
      <c r="A6" s="10">
        <f t="shared" si="0"/>
        <v>2</v>
      </c>
      <c r="B6" s="11">
        <v>46077</v>
      </c>
      <c r="C6" s="12" t="s">
        <v>53</v>
      </c>
      <c r="D6" s="12" t="s">
        <v>40</v>
      </c>
      <c r="E6" s="12" t="s">
        <v>41</v>
      </c>
      <c r="F6" s="12" t="s">
        <v>54</v>
      </c>
      <c r="G6" s="13" t="s">
        <v>55</v>
      </c>
      <c r="H6" s="13" t="s">
        <v>56</v>
      </c>
      <c r="I6" s="12" t="s">
        <v>50</v>
      </c>
      <c r="J6" s="13" t="s">
        <v>57</v>
      </c>
      <c r="K6" s="12" t="s">
        <v>44</v>
      </c>
      <c r="L6" s="10">
        <v>40</v>
      </c>
      <c r="M6" s="12" t="s">
        <v>45</v>
      </c>
      <c r="N6" s="13"/>
    </row>
    <row r="7" spans="1:14" ht="39.75" customHeight="1" x14ac:dyDescent="0.2">
      <c r="A7" s="6">
        <f t="shared" si="0"/>
        <v>3</v>
      </c>
      <c r="B7" s="7">
        <v>46078</v>
      </c>
      <c r="C7" s="8" t="s">
        <v>39</v>
      </c>
      <c r="D7" s="8" t="s">
        <v>40</v>
      </c>
      <c r="E7" s="8" t="s">
        <v>41</v>
      </c>
      <c r="F7" s="8" t="s">
        <v>54</v>
      </c>
      <c r="G7" s="9" t="s">
        <v>58</v>
      </c>
      <c r="H7" s="9" t="s">
        <v>59</v>
      </c>
      <c r="I7" s="8" t="s">
        <v>50</v>
      </c>
      <c r="J7" s="9" t="s">
        <v>60</v>
      </c>
      <c r="K7" s="8" t="s">
        <v>44</v>
      </c>
      <c r="L7" s="8">
        <v>45</v>
      </c>
      <c r="M7" s="8" t="s">
        <v>45</v>
      </c>
      <c r="N7" s="9" t="s">
        <v>61</v>
      </c>
    </row>
    <row r="8" spans="1:14" ht="39.75" customHeight="1" x14ac:dyDescent="0.2">
      <c r="A8" s="10">
        <f t="shared" si="0"/>
        <v>4</v>
      </c>
      <c r="B8" s="11">
        <v>46081</v>
      </c>
      <c r="C8" s="12" t="s">
        <v>39</v>
      </c>
      <c r="D8" s="12" t="s">
        <v>40</v>
      </c>
      <c r="E8" s="12" t="s">
        <v>41</v>
      </c>
      <c r="F8" s="12" t="s">
        <v>62</v>
      </c>
      <c r="G8" s="13" t="s">
        <v>186</v>
      </c>
      <c r="H8" s="13" t="s">
        <v>187</v>
      </c>
      <c r="I8" s="12" t="s">
        <v>50</v>
      </c>
      <c r="J8" s="13" t="s">
        <v>63</v>
      </c>
      <c r="K8" s="12" t="s">
        <v>44</v>
      </c>
      <c r="L8" s="12">
        <v>90</v>
      </c>
      <c r="M8" s="12" t="s">
        <v>45</v>
      </c>
      <c r="N8" s="13"/>
    </row>
    <row r="9" spans="1:14" ht="39.75" customHeight="1" x14ac:dyDescent="0.2">
      <c r="A9" s="6">
        <f t="shared" si="0"/>
        <v>5</v>
      </c>
      <c r="B9" s="7">
        <v>46082</v>
      </c>
      <c r="C9" s="8" t="s">
        <v>47</v>
      </c>
      <c r="D9" s="8" t="s">
        <v>40</v>
      </c>
      <c r="E9" s="8" t="s">
        <v>41</v>
      </c>
      <c r="F9" s="8" t="s">
        <v>62</v>
      </c>
      <c r="G9" s="9" t="s">
        <v>64</v>
      </c>
      <c r="H9" s="9" t="s">
        <v>65</v>
      </c>
      <c r="I9" s="8" t="s">
        <v>50</v>
      </c>
      <c r="J9" s="9" t="s">
        <v>66</v>
      </c>
      <c r="K9" s="8" t="s">
        <v>44</v>
      </c>
      <c r="L9" s="8">
        <v>35</v>
      </c>
      <c r="M9" s="8" t="s">
        <v>52</v>
      </c>
      <c r="N9" s="9"/>
    </row>
    <row r="10" spans="1:14" ht="39.75" customHeight="1" x14ac:dyDescent="0.2">
      <c r="A10" s="10">
        <f t="shared" si="0"/>
        <v>6</v>
      </c>
      <c r="B10" s="11">
        <v>46086</v>
      </c>
      <c r="C10" s="12" t="s">
        <v>47</v>
      </c>
      <c r="D10" s="12" t="s">
        <v>40</v>
      </c>
      <c r="E10" s="12" t="s">
        <v>41</v>
      </c>
      <c r="F10" s="12" t="s">
        <v>67</v>
      </c>
      <c r="G10" s="13" t="s">
        <v>68</v>
      </c>
      <c r="H10" s="13" t="s">
        <v>69</v>
      </c>
      <c r="I10" s="12" t="s">
        <v>50</v>
      </c>
      <c r="J10" s="13" t="s">
        <v>70</v>
      </c>
      <c r="K10" s="12" t="s">
        <v>71</v>
      </c>
      <c r="L10" s="12">
        <v>60</v>
      </c>
      <c r="M10" s="12" t="s">
        <v>45</v>
      </c>
      <c r="N10" s="13" t="s">
        <v>72</v>
      </c>
    </row>
    <row r="11" spans="1:14" ht="39.75" customHeight="1" x14ac:dyDescent="0.2">
      <c r="A11" s="6">
        <f t="shared" si="0"/>
        <v>7</v>
      </c>
      <c r="B11" s="7">
        <v>46090</v>
      </c>
      <c r="C11" s="8" t="s">
        <v>47</v>
      </c>
      <c r="D11" s="8" t="s">
        <v>40</v>
      </c>
      <c r="E11" s="8" t="s">
        <v>41</v>
      </c>
      <c r="F11" s="8" t="s">
        <v>67</v>
      </c>
      <c r="G11" s="9" t="s">
        <v>73</v>
      </c>
      <c r="H11" s="9" t="s">
        <v>74</v>
      </c>
      <c r="I11" s="8" t="s">
        <v>50</v>
      </c>
      <c r="J11" s="9" t="s">
        <v>75</v>
      </c>
      <c r="K11" s="8" t="s">
        <v>76</v>
      </c>
      <c r="L11" s="8">
        <v>75</v>
      </c>
      <c r="M11" s="8" t="s">
        <v>45</v>
      </c>
      <c r="N11" s="9" t="s">
        <v>77</v>
      </c>
    </row>
    <row r="12" spans="1:14" ht="39.75" customHeight="1" x14ac:dyDescent="0.2">
      <c r="A12" s="10">
        <f t="shared" si="0"/>
        <v>8</v>
      </c>
      <c r="B12" s="11">
        <v>46095</v>
      </c>
      <c r="C12" s="12" t="s">
        <v>47</v>
      </c>
      <c r="D12" s="12" t="s">
        <v>40</v>
      </c>
      <c r="E12" s="12" t="s">
        <v>41</v>
      </c>
      <c r="F12" s="12" t="s">
        <v>67</v>
      </c>
      <c r="G12" s="13" t="s">
        <v>78</v>
      </c>
      <c r="H12" s="13" t="s">
        <v>79</v>
      </c>
      <c r="I12" s="12" t="s">
        <v>50</v>
      </c>
      <c r="J12" s="13" t="s">
        <v>80</v>
      </c>
      <c r="K12" s="12" t="s">
        <v>81</v>
      </c>
      <c r="L12" s="12">
        <v>50</v>
      </c>
      <c r="M12" s="12" t="s">
        <v>45</v>
      </c>
      <c r="N12" s="13" t="s">
        <v>82</v>
      </c>
    </row>
    <row r="13" spans="1:14" ht="39.75" customHeight="1" x14ac:dyDescent="0.2">
      <c r="A13" s="6">
        <f t="shared" si="0"/>
        <v>9</v>
      </c>
      <c r="B13" s="7">
        <v>46099</v>
      </c>
      <c r="C13" s="8" t="s">
        <v>47</v>
      </c>
      <c r="D13" s="8" t="s">
        <v>40</v>
      </c>
      <c r="E13" s="8" t="s">
        <v>41</v>
      </c>
      <c r="F13" s="8" t="s">
        <v>83</v>
      </c>
      <c r="G13" s="9" t="s">
        <v>84</v>
      </c>
      <c r="H13" s="9" t="s">
        <v>85</v>
      </c>
      <c r="I13" s="8" t="s">
        <v>50</v>
      </c>
      <c r="J13" s="9" t="s">
        <v>86</v>
      </c>
      <c r="K13" s="8" t="s">
        <v>87</v>
      </c>
      <c r="L13" s="8">
        <v>40</v>
      </c>
      <c r="M13" s="8" t="s">
        <v>88</v>
      </c>
      <c r="N13" s="9" t="s">
        <v>89</v>
      </c>
    </row>
    <row r="14" spans="1:14" ht="39.75" customHeight="1" x14ac:dyDescent="0.2">
      <c r="A14" s="10">
        <f t="shared" si="0"/>
        <v>10</v>
      </c>
      <c r="B14" s="11">
        <v>46104</v>
      </c>
      <c r="C14" s="12" t="s">
        <v>90</v>
      </c>
      <c r="D14" s="12" t="s">
        <v>40</v>
      </c>
      <c r="E14" s="12" t="s">
        <v>41</v>
      </c>
      <c r="F14" s="12" t="s">
        <v>67</v>
      </c>
      <c r="G14" s="13" t="s">
        <v>91</v>
      </c>
      <c r="H14" s="13" t="s">
        <v>92</v>
      </c>
      <c r="I14" s="12" t="s">
        <v>190</v>
      </c>
      <c r="J14" s="13" t="s">
        <v>93</v>
      </c>
      <c r="K14" s="12" t="s">
        <v>94</v>
      </c>
      <c r="L14" s="12">
        <v>70</v>
      </c>
      <c r="M14" s="12" t="s">
        <v>45</v>
      </c>
      <c r="N14" s="13" t="s">
        <v>95</v>
      </c>
    </row>
    <row r="15" spans="1:14" ht="39.75" customHeight="1" x14ac:dyDescent="0.2">
      <c r="A15" s="6">
        <f t="shared" si="0"/>
        <v>11</v>
      </c>
      <c r="B15" s="7">
        <v>46111</v>
      </c>
      <c r="C15" s="8" t="s">
        <v>90</v>
      </c>
      <c r="D15" s="8" t="s">
        <v>40</v>
      </c>
      <c r="E15" s="8" t="s">
        <v>41</v>
      </c>
      <c r="F15" s="8" t="s">
        <v>67</v>
      </c>
      <c r="G15" s="9" t="s">
        <v>96</v>
      </c>
      <c r="H15" s="9" t="s">
        <v>97</v>
      </c>
      <c r="I15" s="8" t="s">
        <v>98</v>
      </c>
      <c r="J15" s="9" t="s">
        <v>99</v>
      </c>
      <c r="K15" s="8" t="s">
        <v>100</v>
      </c>
      <c r="L15" s="8">
        <v>45</v>
      </c>
      <c r="M15" s="8" t="s">
        <v>45</v>
      </c>
      <c r="N15" s="9" t="s">
        <v>101</v>
      </c>
    </row>
    <row r="16" spans="1:14" ht="39.75" customHeight="1" x14ac:dyDescent="0.2">
      <c r="A16" s="10">
        <f t="shared" si="0"/>
        <v>12</v>
      </c>
      <c r="B16" s="11">
        <v>46118</v>
      </c>
      <c r="C16" s="12" t="s">
        <v>90</v>
      </c>
      <c r="D16" s="12" t="s">
        <v>40</v>
      </c>
      <c r="E16" s="12" t="s">
        <v>41</v>
      </c>
      <c r="F16" s="12" t="s">
        <v>67</v>
      </c>
      <c r="G16" s="13" t="s">
        <v>188</v>
      </c>
      <c r="H16" s="13" t="s">
        <v>189</v>
      </c>
      <c r="I16" s="12" t="s">
        <v>190</v>
      </c>
      <c r="J16" s="13" t="s">
        <v>93</v>
      </c>
      <c r="K16" s="12" t="s">
        <v>102</v>
      </c>
      <c r="L16" s="12">
        <v>55</v>
      </c>
      <c r="M16" s="12" t="s">
        <v>45</v>
      </c>
      <c r="N16" s="13" t="s">
        <v>103</v>
      </c>
    </row>
    <row r="17" spans="1:14" ht="39.75" customHeight="1" x14ac:dyDescent="0.2">
      <c r="A17" s="6">
        <f t="shared" si="0"/>
        <v>13</v>
      </c>
      <c r="B17" s="7">
        <v>46125</v>
      </c>
      <c r="C17" s="8" t="s">
        <v>90</v>
      </c>
      <c r="D17" s="8" t="s">
        <v>40</v>
      </c>
      <c r="E17" s="8" t="s">
        <v>41</v>
      </c>
      <c r="F17" s="8" t="s">
        <v>83</v>
      </c>
      <c r="G17" s="9" t="s">
        <v>104</v>
      </c>
      <c r="H17" s="9" t="s">
        <v>105</v>
      </c>
      <c r="I17" s="8" t="s">
        <v>190</v>
      </c>
      <c r="J17" s="9" t="s">
        <v>106</v>
      </c>
      <c r="K17" s="8" t="s">
        <v>107</v>
      </c>
      <c r="L17" s="8">
        <v>65</v>
      </c>
      <c r="M17" s="8" t="s">
        <v>45</v>
      </c>
      <c r="N17" s="9" t="s">
        <v>108</v>
      </c>
    </row>
    <row r="18" spans="1:14" ht="39.75" customHeight="1" x14ac:dyDescent="0.2">
      <c r="A18" s="10">
        <f t="shared" si="0"/>
        <v>14</v>
      </c>
      <c r="B18" s="7">
        <v>46140</v>
      </c>
      <c r="C18" s="12" t="s">
        <v>90</v>
      </c>
      <c r="D18" s="12" t="s">
        <v>40</v>
      </c>
      <c r="E18" s="12" t="s">
        <v>41</v>
      </c>
      <c r="F18" s="12" t="s">
        <v>67</v>
      </c>
      <c r="G18" s="12" t="s">
        <v>109</v>
      </c>
      <c r="H18" s="12" t="s">
        <v>110</v>
      </c>
      <c r="I18" s="12" t="s">
        <v>98</v>
      </c>
      <c r="J18" s="12" t="s">
        <v>111</v>
      </c>
      <c r="K18" s="12" t="s">
        <v>112</v>
      </c>
      <c r="L18" s="12">
        <v>50</v>
      </c>
      <c r="M18" s="12" t="s">
        <v>45</v>
      </c>
      <c r="N18" s="12" t="s">
        <v>113</v>
      </c>
    </row>
    <row r="19" spans="1:14" ht="39.75" customHeight="1" x14ac:dyDescent="0.2">
      <c r="A19" s="6">
        <f t="shared" si="0"/>
        <v>15</v>
      </c>
      <c r="B19" s="7">
        <v>46142</v>
      </c>
      <c r="C19" s="8" t="s">
        <v>47</v>
      </c>
      <c r="D19" s="8" t="s">
        <v>40</v>
      </c>
      <c r="E19" s="8" t="s">
        <v>41</v>
      </c>
      <c r="F19" s="8" t="s">
        <v>42</v>
      </c>
      <c r="G19" s="8" t="s">
        <v>114</v>
      </c>
      <c r="H19" s="8" t="s">
        <v>115</v>
      </c>
      <c r="I19" s="8" t="s">
        <v>190</v>
      </c>
      <c r="J19" s="8" t="s">
        <v>116</v>
      </c>
      <c r="K19" s="8" t="s">
        <v>44</v>
      </c>
      <c r="L19" s="8">
        <v>30</v>
      </c>
      <c r="M19" s="8" t="s">
        <v>45</v>
      </c>
      <c r="N19" s="8" t="s">
        <v>117</v>
      </c>
    </row>
    <row r="20" spans="1:14" ht="39.75" customHeight="1" x14ac:dyDescent="0.2">
      <c r="A20" s="10">
        <f t="shared" si="0"/>
        <v>16</v>
      </c>
      <c r="B20" s="7">
        <v>46147</v>
      </c>
      <c r="C20" s="12" t="s">
        <v>90</v>
      </c>
      <c r="D20" s="12" t="s">
        <v>40</v>
      </c>
      <c r="E20" s="12" t="s">
        <v>41</v>
      </c>
      <c r="F20" s="12" t="s">
        <v>83</v>
      </c>
      <c r="G20" s="12" t="s">
        <v>118</v>
      </c>
      <c r="H20" s="12" t="s">
        <v>191</v>
      </c>
      <c r="I20" s="12" t="s">
        <v>50</v>
      </c>
      <c r="J20" s="12" t="s">
        <v>119</v>
      </c>
      <c r="K20" s="12" t="s">
        <v>120</v>
      </c>
      <c r="L20" s="12">
        <v>40</v>
      </c>
      <c r="M20" s="12" t="s">
        <v>45</v>
      </c>
      <c r="N20" s="12" t="s">
        <v>121</v>
      </c>
    </row>
    <row r="21" spans="1:14" ht="39.75" customHeight="1" x14ac:dyDescent="0.2">
      <c r="A21" s="6">
        <f t="shared" si="0"/>
        <v>17</v>
      </c>
      <c r="B21" s="7">
        <v>46152</v>
      </c>
      <c r="C21" s="8" t="s">
        <v>90</v>
      </c>
      <c r="D21" s="8" t="s">
        <v>40</v>
      </c>
      <c r="E21" s="8" t="s">
        <v>41</v>
      </c>
      <c r="F21" s="8" t="s">
        <v>122</v>
      </c>
      <c r="G21" s="8" t="s">
        <v>123</v>
      </c>
      <c r="H21" s="8" t="s">
        <v>124</v>
      </c>
      <c r="I21" s="8" t="s">
        <v>98</v>
      </c>
      <c r="J21" s="8" t="s">
        <v>125</v>
      </c>
      <c r="K21" s="8" t="s">
        <v>126</v>
      </c>
      <c r="L21" s="8">
        <v>35</v>
      </c>
      <c r="M21" s="8" t="s">
        <v>88</v>
      </c>
      <c r="N21" s="8" t="s">
        <v>127</v>
      </c>
    </row>
    <row r="22" spans="1:14" ht="39.75" customHeight="1" x14ac:dyDescent="0.2">
      <c r="A22" s="10">
        <f t="shared" si="0"/>
        <v>18</v>
      </c>
      <c r="B22" s="7">
        <v>46155</v>
      </c>
      <c r="C22" s="12" t="s">
        <v>90</v>
      </c>
      <c r="D22" s="12" t="s">
        <v>40</v>
      </c>
      <c r="E22" s="12" t="s">
        <v>41</v>
      </c>
      <c r="F22" s="12" t="s">
        <v>83</v>
      </c>
      <c r="G22" s="12" t="s">
        <v>128</v>
      </c>
      <c r="H22" s="12" t="s">
        <v>129</v>
      </c>
      <c r="I22" s="12" t="s">
        <v>190</v>
      </c>
      <c r="J22" s="12" t="s">
        <v>130</v>
      </c>
      <c r="K22" s="12" t="s">
        <v>131</v>
      </c>
      <c r="L22" s="12">
        <v>55</v>
      </c>
      <c r="M22" s="12" t="s">
        <v>45</v>
      </c>
      <c r="N22" s="12" t="s">
        <v>132</v>
      </c>
    </row>
    <row r="23" spans="1:14" ht="39.75" customHeight="1" x14ac:dyDescent="0.2">
      <c r="A23" s="6">
        <f t="shared" si="0"/>
        <v>19</v>
      </c>
      <c r="B23" s="7">
        <v>46161</v>
      </c>
      <c r="C23" s="8" t="s">
        <v>90</v>
      </c>
      <c r="D23" s="8" t="s">
        <v>40</v>
      </c>
      <c r="E23" s="8" t="s">
        <v>41</v>
      </c>
      <c r="F23" s="8" t="s">
        <v>67</v>
      </c>
      <c r="G23" s="8" t="s">
        <v>133</v>
      </c>
      <c r="H23" s="8" t="s">
        <v>134</v>
      </c>
      <c r="I23" s="8" t="s">
        <v>50</v>
      </c>
      <c r="J23" s="8" t="s">
        <v>135</v>
      </c>
      <c r="K23" s="8" t="s">
        <v>136</v>
      </c>
      <c r="L23" s="8">
        <v>40</v>
      </c>
      <c r="M23" s="8" t="s">
        <v>45</v>
      </c>
      <c r="N23" s="8" t="s">
        <v>137</v>
      </c>
    </row>
    <row r="24" spans="1:14" ht="39.75" customHeight="1" x14ac:dyDescent="0.2">
      <c r="A24" s="10">
        <f t="shared" si="0"/>
        <v>20</v>
      </c>
      <c r="B24" s="7">
        <v>46162</v>
      </c>
      <c r="C24" s="12" t="s">
        <v>90</v>
      </c>
      <c r="D24" s="12" t="s">
        <v>40</v>
      </c>
      <c r="E24" s="12" t="s">
        <v>41</v>
      </c>
      <c r="F24" s="12" t="s">
        <v>138</v>
      </c>
      <c r="G24" s="12" t="s">
        <v>192</v>
      </c>
      <c r="H24" s="12" t="s">
        <v>139</v>
      </c>
      <c r="I24" s="12" t="s">
        <v>50</v>
      </c>
      <c r="J24" s="12" t="s">
        <v>140</v>
      </c>
      <c r="K24" s="12" t="s">
        <v>141</v>
      </c>
      <c r="L24" s="12">
        <v>25</v>
      </c>
      <c r="M24" s="12" t="s">
        <v>88</v>
      </c>
      <c r="N24" s="12" t="s">
        <v>142</v>
      </c>
    </row>
    <row r="25" spans="1:14" ht="39.75" customHeight="1" x14ac:dyDescent="0.2">
      <c r="A25" s="6">
        <f t="shared" si="0"/>
        <v>21</v>
      </c>
      <c r="B25" s="7">
        <v>46163</v>
      </c>
      <c r="C25" s="8" t="s">
        <v>53</v>
      </c>
      <c r="D25" s="8" t="s">
        <v>40</v>
      </c>
      <c r="E25" s="8" t="s">
        <v>41</v>
      </c>
      <c r="F25" s="8" t="s">
        <v>54</v>
      </c>
      <c r="G25" s="8" t="s">
        <v>143</v>
      </c>
      <c r="H25" s="8" t="s">
        <v>144</v>
      </c>
      <c r="I25" s="8" t="s">
        <v>50</v>
      </c>
      <c r="J25" s="8" t="s">
        <v>145</v>
      </c>
      <c r="K25" s="8" t="s">
        <v>44</v>
      </c>
      <c r="L25" s="8">
        <v>40</v>
      </c>
      <c r="M25" s="8" t="s">
        <v>52</v>
      </c>
      <c r="N25" s="8"/>
    </row>
    <row r="26" spans="1:14" ht="39.75" customHeight="1" x14ac:dyDescent="0.2">
      <c r="A26" s="10">
        <f t="shared" si="0"/>
        <v>22</v>
      </c>
      <c r="B26" s="7">
        <v>46174</v>
      </c>
      <c r="C26" s="12" t="s">
        <v>146</v>
      </c>
      <c r="D26" s="12" t="s">
        <v>40</v>
      </c>
      <c r="E26" s="12" t="s">
        <v>41</v>
      </c>
      <c r="F26" s="12" t="s">
        <v>62</v>
      </c>
      <c r="G26" s="12" t="s">
        <v>147</v>
      </c>
      <c r="H26" s="12" t="s">
        <v>148</v>
      </c>
      <c r="I26" s="12" t="s">
        <v>50</v>
      </c>
      <c r="J26" s="12" t="s">
        <v>149</v>
      </c>
      <c r="K26" s="12" t="s">
        <v>44</v>
      </c>
      <c r="L26" s="12">
        <v>25</v>
      </c>
      <c r="M26" s="12" t="s">
        <v>45</v>
      </c>
      <c r="N26" s="12" t="s">
        <v>150</v>
      </c>
    </row>
    <row r="27" spans="1:14" ht="39.75" customHeight="1" x14ac:dyDescent="0.2">
      <c r="A27" s="6">
        <f t="shared" si="0"/>
        <v>23</v>
      </c>
      <c r="B27" s="7">
        <v>46174</v>
      </c>
      <c r="C27" s="8" t="s">
        <v>146</v>
      </c>
      <c r="D27" s="8" t="s">
        <v>40</v>
      </c>
      <c r="E27" s="8" t="s">
        <v>41</v>
      </c>
      <c r="F27" s="8" t="s">
        <v>62</v>
      </c>
      <c r="G27" s="8" t="s">
        <v>151</v>
      </c>
      <c r="H27" s="8" t="s">
        <v>193</v>
      </c>
      <c r="I27" s="8" t="s">
        <v>50</v>
      </c>
      <c r="J27" s="8" t="s">
        <v>152</v>
      </c>
      <c r="K27" s="8" t="s">
        <v>44</v>
      </c>
      <c r="L27" s="8">
        <v>35</v>
      </c>
      <c r="M27" s="8" t="s">
        <v>45</v>
      </c>
      <c r="N27" s="8"/>
    </row>
    <row r="28" spans="1:14" ht="39.75" customHeight="1" x14ac:dyDescent="0.2">
      <c r="A28" s="10">
        <f t="shared" si="0"/>
        <v>24</v>
      </c>
      <c r="B28" s="7">
        <v>46183</v>
      </c>
      <c r="C28" s="12" t="s">
        <v>146</v>
      </c>
      <c r="D28" s="12" t="s">
        <v>40</v>
      </c>
      <c r="E28" s="12" t="s">
        <v>41</v>
      </c>
      <c r="F28" s="12" t="s">
        <v>153</v>
      </c>
      <c r="G28" s="12" t="s">
        <v>154</v>
      </c>
      <c r="H28" s="12" t="s">
        <v>194</v>
      </c>
      <c r="I28" s="12" t="s">
        <v>50</v>
      </c>
      <c r="J28" s="12" t="s">
        <v>155</v>
      </c>
      <c r="K28" s="12" t="s">
        <v>156</v>
      </c>
      <c r="L28" s="12">
        <v>45</v>
      </c>
      <c r="M28" s="12" t="s">
        <v>88</v>
      </c>
      <c r="N28" s="12" t="s">
        <v>157</v>
      </c>
    </row>
    <row r="29" spans="1:14" ht="68" customHeight="1" x14ac:dyDescent="0.2">
      <c r="A29" s="10">
        <f t="shared" si="0"/>
        <v>25</v>
      </c>
      <c r="B29" s="7">
        <v>46183</v>
      </c>
      <c r="C29" s="12" t="s">
        <v>158</v>
      </c>
      <c r="D29" s="12" t="s">
        <v>40</v>
      </c>
      <c r="E29" s="12" t="s">
        <v>159</v>
      </c>
      <c r="F29" s="12" t="s">
        <v>153</v>
      </c>
      <c r="G29" s="12" t="s">
        <v>160</v>
      </c>
      <c r="H29" s="12" t="s">
        <v>161</v>
      </c>
      <c r="I29" s="12" t="s">
        <v>43</v>
      </c>
      <c r="J29" s="12" t="s">
        <v>162</v>
      </c>
      <c r="K29" s="12" t="s">
        <v>44</v>
      </c>
      <c r="L29" s="12">
        <v>60</v>
      </c>
      <c r="M29" s="12" t="s">
        <v>45</v>
      </c>
      <c r="N29" s="12"/>
    </row>
    <row r="30" spans="1:14" ht="53" customHeight="1" x14ac:dyDescent="0.2">
      <c r="A30" s="6">
        <f t="shared" si="0"/>
        <v>26</v>
      </c>
      <c r="B30" s="7">
        <v>46185</v>
      </c>
      <c r="C30" s="8" t="s">
        <v>158</v>
      </c>
      <c r="D30" s="8" t="s">
        <v>40</v>
      </c>
      <c r="E30" s="8" t="s">
        <v>159</v>
      </c>
      <c r="F30" s="8" t="s">
        <v>67</v>
      </c>
      <c r="G30" s="8" t="s">
        <v>163</v>
      </c>
      <c r="H30" s="8" t="s">
        <v>164</v>
      </c>
      <c r="I30" s="8" t="s">
        <v>98</v>
      </c>
      <c r="J30" s="8" t="s">
        <v>165</v>
      </c>
      <c r="K30" s="8" t="s">
        <v>44</v>
      </c>
      <c r="L30" s="8">
        <v>30</v>
      </c>
      <c r="M30" s="8" t="s">
        <v>45</v>
      </c>
      <c r="N30" s="8" t="s">
        <v>166</v>
      </c>
    </row>
  </sheetData>
  <mergeCells count="3">
    <mergeCell ref="A3:N3"/>
    <mergeCell ref="A2:N2"/>
    <mergeCell ref="A1:N1"/>
  </mergeCells>
  <dataValidations count="6">
    <dataValidation type="list" allowBlank="1" errorTitle="Invalid Entry" error="Select a valid thesis phase from the list." sqref="C5:C30" xr:uid="{00000000-0002-0000-0100-000000000000}">
      <formula1>"Topic &amp; Proposal,Literature Review,Methodology &amp; Data,Analysis &amp; Results,Discussion &amp; Writing,Final Review &amp; Defence"</formula1>
      <formula2>0</formula2>
    </dataValidation>
    <dataValidation type="list" allowBlank="1" sqref="D5:D30" xr:uid="{00000000-0002-0000-0100-000001000000}">
      <formula1>"Claude (Anthropic),ChatGPT (OpenAI),Gemini (Google),Copilot (Microsoft),Grammarly,Other"</formula1>
      <formula2>0</formula2>
    </dataValidation>
    <dataValidation type="list" allowBlank="1" sqref="I5:I30" xr:uid="{00000000-0002-0000-0100-000002000000}">
      <formula1>"Used verbatim,Adapted substantially,Adapted minimally,Rejected – not used,Used as reference only"</formula1>
      <formula2>0</formula2>
    </dataValidation>
    <dataValidation type="list" allowBlank="1" sqref="K5:K30" xr:uid="{00000000-0002-0000-0100-000003000000}">
      <formula1>"Y – cross-checked with literature,Y – verified with supervisor,Y – independently validated,N – taken at face value,N/A"</formula1>
      <formula2>0</formula2>
    </dataValidation>
    <dataValidation type="list" allowBlank="1" sqref="M5:M30" xr:uid="{00000000-0002-0000-0100-000004000000}">
      <formula1>"1 – Low (formatting / grammar),2 – Medium (structure / ideation),3 – High (content / analysis)"</formula1>
      <formula2>0</formula2>
    </dataValidation>
    <dataValidation type="list" allowBlank="1" sqref="F5:F30" xr:uid="{00000000-0002-0000-0100-000005000000}">
      <formula1>"Literature Search,Summarisation,Writing Assistance,Editing / Proofreading,Diagram / Visual Generation,Data Analysis,Code / Formula Generation,Translation,Idea Generation / Brainstorming,Other"</formula1>
      <formula2>0</formula2>
    </dataValidation>
  </dataValidations>
  <pageMargins left="0.75" right="0.75" top="1" bottom="1" header="0.511811023622047" footer="0.51180555555555596"/>
  <pageSetup paperSize="9" orientation="landscape" horizontalDpi="300" verticalDpi="300"/>
  <headerFooter>
    <oddFooter>&amp;C&amp;"arial,Regular"&amp;9 &amp;K008000_x000D_# C1 -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showGridLines="0" topLeftCell="A5" zoomScale="140" zoomScaleNormal="164" workbookViewId="0">
      <selection activeCell="H20" sqref="H20"/>
    </sheetView>
  </sheetViews>
  <sheetFormatPr baseColWidth="10" defaultColWidth="8.6640625" defaultRowHeight="15" x14ac:dyDescent="0.2"/>
  <cols>
    <col min="1" max="8" width="18" customWidth="1"/>
  </cols>
  <sheetData>
    <row r="1" spans="1:8" ht="30" customHeight="1" x14ac:dyDescent="0.2">
      <c r="A1" s="21" t="s">
        <v>167</v>
      </c>
      <c r="B1" s="18"/>
      <c r="C1" s="18"/>
      <c r="D1" s="18"/>
      <c r="E1" s="18"/>
      <c r="F1" s="18"/>
      <c r="G1" s="18"/>
      <c r="H1" s="18"/>
    </row>
    <row r="2" spans="1:8" ht="15.75" customHeight="1" x14ac:dyDescent="0.2">
      <c r="A2" s="29" t="s">
        <v>168</v>
      </c>
      <c r="B2" s="18"/>
      <c r="C2" s="18"/>
      <c r="D2" s="18"/>
      <c r="E2" s="18"/>
      <c r="F2" s="18"/>
      <c r="G2" s="18"/>
      <c r="H2" s="18"/>
    </row>
    <row r="4" spans="1:8" ht="27.75" customHeight="1" x14ac:dyDescent="0.2">
      <c r="A4" s="26" t="s">
        <v>169</v>
      </c>
      <c r="B4" s="24"/>
      <c r="C4" s="26" t="s">
        <v>170</v>
      </c>
      <c r="D4" s="24"/>
      <c r="E4" s="26" t="s">
        <v>171</v>
      </c>
      <c r="F4" s="24"/>
      <c r="G4" s="26" t="s">
        <v>172</v>
      </c>
      <c r="H4" s="24"/>
    </row>
    <row r="5" spans="1:8" ht="36" customHeight="1" x14ac:dyDescent="0.2">
      <c r="A5" s="30">
        <f>COUNTA('AI Usage Log'!B5:B30)</f>
        <v>26</v>
      </c>
      <c r="B5" s="24"/>
      <c r="C5" s="30">
        <f>IFERROR(SUM('AI Usage Log'!L5:L30),0)</f>
        <v>1210</v>
      </c>
      <c r="D5" s="24"/>
      <c r="E5" s="30">
        <f>IFERROR(COUNTIF('AI Usage Log'!M5:M30,"3*"),0)</f>
        <v>2</v>
      </c>
      <c r="F5" s="24"/>
      <c r="G5" s="30">
        <f>IFERROR(COUNTIF('AI Usage Log'!K5:K30,"N*"),0)</f>
        <v>0</v>
      </c>
      <c r="H5" s="24"/>
    </row>
    <row r="7" spans="1:8" ht="21.75" customHeight="1" x14ac:dyDescent="0.2">
      <c r="A7" s="27" t="s">
        <v>173</v>
      </c>
      <c r="B7" s="18"/>
      <c r="C7" s="18"/>
      <c r="D7" s="18"/>
      <c r="F7" s="27" t="s">
        <v>174</v>
      </c>
      <c r="G7" s="18"/>
      <c r="H7" s="18"/>
    </row>
    <row r="8" spans="1:8" ht="19.5" customHeight="1" x14ac:dyDescent="0.2">
      <c r="A8" s="22" t="s">
        <v>39</v>
      </c>
      <c r="B8" s="23"/>
      <c r="C8" s="24"/>
      <c r="D8" s="14">
        <f>COUNTIF('AI Usage Log'!C5:C30,A8)</f>
        <v>2</v>
      </c>
      <c r="F8" s="22" t="s">
        <v>40</v>
      </c>
      <c r="G8" s="24"/>
      <c r="H8" s="14">
        <f>COUNTIF('AI Usage Log'!D5:D30,F8)</f>
        <v>26</v>
      </c>
    </row>
    <row r="9" spans="1:8" ht="19.5" customHeight="1" x14ac:dyDescent="0.2">
      <c r="A9" s="25" t="s">
        <v>53</v>
      </c>
      <c r="B9" s="23"/>
      <c r="C9" s="24"/>
      <c r="D9" s="15">
        <f>COUNTIF('AI Usage Log'!C5:C30,A9)</f>
        <v>2</v>
      </c>
      <c r="F9" s="25" t="s">
        <v>175</v>
      </c>
      <c r="G9" s="24"/>
      <c r="H9" s="15">
        <f>COUNTIF('AI Usage Log'!D5:D30,F9)</f>
        <v>0</v>
      </c>
    </row>
    <row r="10" spans="1:8" ht="19.5" customHeight="1" x14ac:dyDescent="0.2">
      <c r="A10" s="22" t="s">
        <v>47</v>
      </c>
      <c r="B10" s="23"/>
      <c r="C10" s="24"/>
      <c r="D10" s="14">
        <f>COUNTIF('AI Usage Log'!C5:C30,A10)</f>
        <v>7</v>
      </c>
      <c r="F10" s="22" t="s">
        <v>176</v>
      </c>
      <c r="G10" s="24"/>
      <c r="H10" s="14">
        <f>COUNTIF('AI Usage Log'!D5:D30,F10)</f>
        <v>0</v>
      </c>
    </row>
    <row r="11" spans="1:8" ht="19.5" customHeight="1" x14ac:dyDescent="0.2">
      <c r="A11" s="25" t="s">
        <v>90</v>
      </c>
      <c r="B11" s="23"/>
      <c r="C11" s="24"/>
      <c r="D11" s="15">
        <f>COUNTIF('AI Usage Log'!C5:C30,A11)</f>
        <v>10</v>
      </c>
      <c r="F11" s="25" t="s">
        <v>177</v>
      </c>
      <c r="G11" s="24"/>
      <c r="H11" s="15">
        <f>COUNTIF('AI Usage Log'!D5:D30,F11)</f>
        <v>0</v>
      </c>
    </row>
    <row r="12" spans="1:8" ht="19.5" customHeight="1" x14ac:dyDescent="0.2">
      <c r="A12" s="22" t="s">
        <v>146</v>
      </c>
      <c r="B12" s="23"/>
      <c r="C12" s="24"/>
      <c r="D12" s="14">
        <f>COUNTIF('AI Usage Log'!C5:C30,A12)</f>
        <v>3</v>
      </c>
      <c r="F12" s="22" t="s">
        <v>178</v>
      </c>
      <c r="G12" s="24"/>
      <c r="H12" s="14">
        <f>COUNTIF('AI Usage Log'!D5:D30,F12)</f>
        <v>0</v>
      </c>
    </row>
    <row r="13" spans="1:8" ht="19.5" customHeight="1" x14ac:dyDescent="0.2">
      <c r="A13" s="25" t="s">
        <v>158</v>
      </c>
      <c r="B13" s="23"/>
      <c r="C13" s="24"/>
      <c r="D13" s="15">
        <f>COUNTIF('AI Usage Log'!C5:C30,A13)</f>
        <v>2</v>
      </c>
      <c r="F13" s="25" t="s">
        <v>179</v>
      </c>
      <c r="G13" s="24"/>
      <c r="H13" s="15">
        <f>COUNTIF('AI Usage Log'!D5:D30,F13)</f>
        <v>0</v>
      </c>
    </row>
    <row r="15" spans="1:8" ht="21.75" customHeight="1" x14ac:dyDescent="0.2">
      <c r="A15" s="27" t="s">
        <v>180</v>
      </c>
      <c r="B15" s="18"/>
      <c r="C15" s="18"/>
      <c r="D15" s="18"/>
      <c r="F15" s="28" t="s">
        <v>181</v>
      </c>
      <c r="G15" s="18"/>
      <c r="H15" s="18"/>
    </row>
    <row r="16" spans="1:8" ht="19.5" customHeight="1" x14ac:dyDescent="0.2">
      <c r="A16" s="22" t="s">
        <v>54</v>
      </c>
      <c r="B16" s="23"/>
      <c r="C16" s="24"/>
      <c r="D16" s="14">
        <f>COUNTIF('AI Usage Log'!F5:F30,A16)</f>
        <v>3</v>
      </c>
      <c r="F16" s="31" t="s">
        <v>182</v>
      </c>
      <c r="G16" s="24"/>
      <c r="H16" s="16">
        <f>IFERROR(SUMPRODUCT(('AI Usage Log'!M5:M30="3 – High (content / analysis)")*('AI Usage Log'!K5:K30="N – taken at face value")),0)</f>
        <v>0</v>
      </c>
    </row>
    <row r="17" spans="1:8" ht="19.5" customHeight="1" x14ac:dyDescent="0.2">
      <c r="A17" s="25" t="s">
        <v>138</v>
      </c>
      <c r="B17" s="23"/>
      <c r="C17" s="24"/>
      <c r="D17" s="15">
        <f>COUNTIF('AI Usage Log'!F5:F30,A17)</f>
        <v>1</v>
      </c>
      <c r="F17" s="31" t="s">
        <v>183</v>
      </c>
      <c r="G17" s="24"/>
      <c r="H17" s="16">
        <f>IFERROR(SUMPRODUCT(('AI Usage Log'!I5:I30="Used verbatim")*('AI Usage Log'!M5:M30="3 – High (content / analysis)")),0)</f>
        <v>0</v>
      </c>
    </row>
    <row r="18" spans="1:8" ht="19.5" customHeight="1" x14ac:dyDescent="0.2">
      <c r="A18" s="22" t="s">
        <v>62</v>
      </c>
      <c r="B18" s="23"/>
      <c r="C18" s="24"/>
      <c r="D18" s="14">
        <f>COUNTIF('AI Usage Log'!F5:F30,A18)</f>
        <v>4</v>
      </c>
      <c r="F18" s="31" t="s">
        <v>184</v>
      </c>
      <c r="G18" s="24"/>
      <c r="H18" s="16">
        <f>IFERROR(COUNTBLANK('AI Usage Log'!K5:K30),0)</f>
        <v>0</v>
      </c>
    </row>
    <row r="19" spans="1:8" ht="19.5" customHeight="1" x14ac:dyDescent="0.2">
      <c r="A19" s="25" t="s">
        <v>153</v>
      </c>
      <c r="B19" s="23"/>
      <c r="C19" s="24"/>
      <c r="D19" s="15">
        <f>COUNTIF('AI Usage Log'!F5:F30,A19)</f>
        <v>2</v>
      </c>
    </row>
    <row r="20" spans="1:8" ht="19.5" customHeight="1" x14ac:dyDescent="0.2">
      <c r="A20" s="22" t="s">
        <v>122</v>
      </c>
      <c r="B20" s="23"/>
      <c r="C20" s="24"/>
      <c r="D20" s="14">
        <f>COUNTIF('AI Usage Log'!F5:F30,A20)</f>
        <v>1</v>
      </c>
    </row>
    <row r="21" spans="1:8" ht="19.5" customHeight="1" x14ac:dyDescent="0.2">
      <c r="A21" s="25" t="s">
        <v>83</v>
      </c>
      <c r="B21" s="23"/>
      <c r="C21" s="24"/>
      <c r="D21" s="15">
        <f>COUNTIF('AI Usage Log'!F5:F30,A21)</f>
        <v>4</v>
      </c>
    </row>
    <row r="22" spans="1:8" ht="19.5" customHeight="1" x14ac:dyDescent="0.2">
      <c r="A22" s="22" t="s">
        <v>67</v>
      </c>
      <c r="B22" s="23"/>
      <c r="C22" s="24"/>
      <c r="D22" s="14">
        <f>COUNTIF('AI Usage Log'!F5:F30,A22)</f>
        <v>9</v>
      </c>
    </row>
    <row r="23" spans="1:8" ht="19.5" customHeight="1" x14ac:dyDescent="0.2">
      <c r="A23" s="25" t="s">
        <v>185</v>
      </c>
      <c r="B23" s="23"/>
      <c r="C23" s="24"/>
      <c r="D23" s="15">
        <f>COUNTIF('AI Usage Log'!F5:F30,A23)</f>
        <v>0</v>
      </c>
    </row>
    <row r="24" spans="1:8" ht="19.5" customHeight="1" x14ac:dyDescent="0.2">
      <c r="A24" s="22" t="s">
        <v>42</v>
      </c>
      <c r="B24" s="23"/>
      <c r="C24" s="24"/>
      <c r="D24" s="14">
        <f>COUNTIF('AI Usage Log'!F5:F30,A24)</f>
        <v>2</v>
      </c>
    </row>
    <row r="25" spans="1:8" ht="19.5" customHeight="1" x14ac:dyDescent="0.2">
      <c r="A25" s="25" t="s">
        <v>179</v>
      </c>
      <c r="B25" s="23"/>
      <c r="C25" s="24"/>
      <c r="D25" s="15">
        <f>COUNTIF('AI Usage Log'!F5:F30,A25)</f>
        <v>0</v>
      </c>
    </row>
  </sheetData>
  <sheetProtection sheet="1" objects="1" scenarios="1"/>
  <mergeCells count="39">
    <mergeCell ref="A25:C25"/>
    <mergeCell ref="F11:G11"/>
    <mergeCell ref="F10:G10"/>
    <mergeCell ref="F16:G16"/>
    <mergeCell ref="C5:D5"/>
    <mergeCell ref="E5:F5"/>
    <mergeCell ref="A18:C18"/>
    <mergeCell ref="A21:C21"/>
    <mergeCell ref="A23:C23"/>
    <mergeCell ref="F18:G18"/>
    <mergeCell ref="A17:C17"/>
    <mergeCell ref="A15:D15"/>
    <mergeCell ref="A22:C22"/>
    <mergeCell ref="A20:C20"/>
    <mergeCell ref="F17:G17"/>
    <mergeCell ref="A13:C13"/>
    <mergeCell ref="A1:H1"/>
    <mergeCell ref="A12:C12"/>
    <mergeCell ref="C4:D4"/>
    <mergeCell ref="E4:F4"/>
    <mergeCell ref="F12:G12"/>
    <mergeCell ref="A8:C8"/>
    <mergeCell ref="F8:G8"/>
    <mergeCell ref="A10:C10"/>
    <mergeCell ref="A2:H2"/>
    <mergeCell ref="A5:B5"/>
    <mergeCell ref="G5:H5"/>
    <mergeCell ref="A9:C9"/>
    <mergeCell ref="A7:D7"/>
    <mergeCell ref="A24:C24"/>
    <mergeCell ref="F9:G9"/>
    <mergeCell ref="A4:B4"/>
    <mergeCell ref="G4:H4"/>
    <mergeCell ref="A11:C11"/>
    <mergeCell ref="F7:H7"/>
    <mergeCell ref="F15:H15"/>
    <mergeCell ref="A16:C16"/>
    <mergeCell ref="A19:C19"/>
    <mergeCell ref="F13:G13"/>
  </mergeCells>
  <pageMargins left="0.75" right="0.75" top="1" bottom="1" header="0.511811023622047" footer="0.51180555555555596"/>
  <pageSetup paperSize="9" orientation="portrait" horizontalDpi="300" verticalDpi="300"/>
  <headerFooter>
    <oddFooter>&amp;C&amp;"arial,Regular"&amp;9 &amp;K008000_x000D_# C1 - Internal use</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How To Use</vt:lpstr>
      <vt:lpstr>AI Usage Log</vt:lpstr>
      <vt:lpstr>Summary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Felix Boesch</cp:lastModifiedBy>
  <cp:revision>0</cp:revision>
  <dcterms:created xsi:type="dcterms:W3CDTF">2026-03-01T10:57:01Z</dcterms:created>
  <dcterms:modified xsi:type="dcterms:W3CDTF">2026-06-15T22:09:06Z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72ba27-cab8-4042-a351-a31f6e4eacdc_ActionId">
    <vt:lpwstr>84869a84-558e-4f83-b386-4d5a82ab977c</vt:lpwstr>
  </property>
  <property fmtid="{D5CDD505-2E9C-101B-9397-08002B2CF9AE}" pid="3" name="MSIP_Label_8772ba27-cab8-4042-a351-a31f6e4eacdc_ContentBits">
    <vt:lpwstr>0</vt:lpwstr>
  </property>
  <property fmtid="{D5CDD505-2E9C-101B-9397-08002B2CF9AE}" pid="4" name="MSIP_Label_8772ba27-cab8-4042-a351-a31f6e4eacdc_Enabled">
    <vt:lpwstr>true</vt:lpwstr>
  </property>
  <property fmtid="{D5CDD505-2E9C-101B-9397-08002B2CF9AE}" pid="5" name="MSIP_Label_8772ba27-cab8-4042-a351-a31f6e4eacdc_Method">
    <vt:lpwstr>Standard</vt:lpwstr>
  </property>
  <property fmtid="{D5CDD505-2E9C-101B-9397-08002B2CF9AE}" pid="6" name="MSIP_Label_8772ba27-cab8-4042-a351-a31f6e4eacdc_Name">
    <vt:lpwstr>Internal</vt:lpwstr>
  </property>
  <property fmtid="{D5CDD505-2E9C-101B-9397-08002B2CF9AE}" pid="7" name="MSIP_Label_8772ba27-cab8-4042-a351-a31f6e4eacdc_SetDate">
    <vt:lpwstr>2026-03-18T10:46:29Z</vt:lpwstr>
  </property>
  <property fmtid="{D5CDD505-2E9C-101B-9397-08002B2CF9AE}" pid="8" name="MSIP_Label_8772ba27-cab8-4042-a351-a31f6e4eacdc_SiteId">
    <vt:lpwstr>715902d6-f63e-4b8d-929b-4bb170bad492</vt:lpwstr>
  </property>
  <property fmtid="{D5CDD505-2E9C-101B-9397-08002B2CF9AE}" pid="9" name="MSIP_Label_8772ba27-cab8-4042-a351-a31f6e4eacdc_Tag">
    <vt:lpwstr>10, 3, 0, 2</vt:lpwstr>
  </property>
  <property fmtid="{D5CDD505-2E9C-101B-9397-08002B2CF9AE}" pid="10" name="MSIP_Label_f43b7177-c66c-4b22-a350-7ee86f9a1e74_ActionId">
    <vt:lpwstr>c033e30e-e34a-4ea3-a108-7c769341672c</vt:lpwstr>
  </property>
  <property fmtid="{D5CDD505-2E9C-101B-9397-08002B2CF9AE}" pid="11" name="MSIP_Label_f43b7177-c66c-4b22-a350-7ee86f9a1e74_ContentBits">
    <vt:lpwstr>2</vt:lpwstr>
  </property>
  <property fmtid="{D5CDD505-2E9C-101B-9397-08002B2CF9AE}" pid="12" name="MSIP_Label_f43b7177-c66c-4b22-a350-7ee86f9a1e74_Enabled">
    <vt:lpwstr>true</vt:lpwstr>
  </property>
  <property fmtid="{D5CDD505-2E9C-101B-9397-08002B2CF9AE}" pid="13" name="MSIP_Label_f43b7177-c66c-4b22-a350-7ee86f9a1e74_Method">
    <vt:lpwstr>Standard</vt:lpwstr>
  </property>
  <property fmtid="{D5CDD505-2E9C-101B-9397-08002B2CF9AE}" pid="14" name="MSIP_Label_f43b7177-c66c-4b22-a350-7ee86f9a1e74_Name">
    <vt:lpwstr>C1_Internal use</vt:lpwstr>
  </property>
  <property fmtid="{D5CDD505-2E9C-101B-9397-08002B2CF9AE}" pid="15" name="MSIP_Label_f43b7177-c66c-4b22-a350-7ee86f9a1e74_SetDate">
    <vt:lpwstr>2026-03-01T11:02:07Z</vt:lpwstr>
  </property>
  <property fmtid="{D5CDD505-2E9C-101B-9397-08002B2CF9AE}" pid="16" name="MSIP_Label_f43b7177-c66c-4b22-a350-7ee86f9a1e74_SiteId">
    <vt:lpwstr>e4e1abd9-eac7-4a71-ab52-da5c998aa7ba</vt:lpwstr>
  </property>
  <property fmtid="{D5CDD505-2E9C-101B-9397-08002B2CF9AE}" pid="17" name="MSIP_Label_f43b7177-c66c-4b22-a350-7ee86f9a1e74_Tag">
    <vt:lpwstr>50, 3, 0, 1</vt:lpwstr>
  </property>
</Properties>
</file>